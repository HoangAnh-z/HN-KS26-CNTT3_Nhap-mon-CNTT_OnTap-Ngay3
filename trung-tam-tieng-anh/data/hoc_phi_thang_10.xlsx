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240" windowHeight="1454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<sst xmlns="http://schemas.openxmlformats.org/spreadsheetml/2006/main" count="72" uniqueCount="53">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</sst>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:G16"/>
    </sheetView>
  </sheetViews>
  <sheetFormatPr defaultColWidth="9" defaultRowHeight="16.8" outlineLevelCol="6"/>
  <cols>
    <col min="1" max="4" width="16" customWidth="1"/>
    <col min="5" max="5" width="18.4921875" customWidth="1"/>
    <col min="6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>VLOOKUP($C2,KhoaHoc!$A$2:$C$8,2,0)</f>
        <v>Tieng Anh thieu nhi</v>
      </c>
      <c r="F2">
        <f>VLOOKUP($C2,KhoaHoc!$A$2:$C$8,3,0)</f>
        <v>900000</v>
      </c>
      <c r="G2">
        <f>D2*F2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VLOOKUP($C3,KhoaHoc!$A$2:$C$8,2,0)</f>
        <v>IELTS 6.5</v>
      </c>
      <c r="F3">
        <f>VLOOKUP($C3,KhoaHoc!$A$2:$C$8,3,0)</f>
        <v>2500000</v>
      </c>
      <c r="G3">
        <f t="shared" ref="G3:G16" si="0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VLOOKUP($C4,KhoaHoc!$A$2:$C$8,2,0)</f>
        <v>Luyen phong van</v>
      </c>
      <c r="F4">
        <f>VLOOKUP($C4,KhoaHoc!$A$2:$C$8,3,0)</f>
        <v>3000000</v>
      </c>
      <c r="G4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>VLOOKUP($C5,KhoaHoc!$A$2:$C$8,2,0)</f>
        <v>Giao tiep nang cao</v>
      </c>
      <c r="F5">
        <f>VLOOKUP($C5,KhoaHoc!$A$2:$C$8,3,0)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VLOOKUP($C6,KhoaHoc!$A$2:$C$8,2,0)</f>
        <v>Giao tiep nang cao</v>
      </c>
      <c r="F6">
        <f>VLOOKUP($C6,KhoaHoc!$A$2:$C$8,3,0)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VLOOKUP($C7,KhoaHoc!$A$2:$C$8,2,0)</f>
        <v>IELTS 5.0</v>
      </c>
      <c r="F7">
        <f>VLOOKUP($C7,KhoaHoc!$A$2:$C$8,3,0)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VLOOKUP($C8,KhoaHoc!$A$2:$C$8,2,0)</f>
        <v>TOEIC 550</v>
      </c>
      <c r="F8">
        <f>VLOOKUP($C8,KhoaHoc!$A$2:$C$8,3,0)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VLOOKUP($C9,KhoaHoc!$A$2:$C$8,2,0)</f>
        <v>Luyen phong van</v>
      </c>
      <c r="F9">
        <f>VLOOKUP($C9,KhoaHoc!$A$2:$C$8,3,0)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VLOOKUP($C10,KhoaHoc!$A$2:$C$8,2,0)</f>
        <v>IELTS 6.5</v>
      </c>
      <c r="F10">
        <f>VLOOKUP($C10,KhoaHoc!$A$2:$C$8,3,0)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>VLOOKUP($C11,KhoaHoc!$A$2:$C$8,2,0)</f>
        <v>IELTS 6.5</v>
      </c>
      <c r="F11">
        <f>VLOOKUP($C11,KhoaHoc!$A$2:$C$8,3,0)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>VLOOKUP($C12,KhoaHoc!$A$2:$C$8,2,0)</f>
        <v>Tieng Anh thieu nhi</v>
      </c>
      <c r="F12">
        <f>VLOOKUP($C12,KhoaHoc!$A$2:$C$8,3,0)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VLOOKUP($C13,KhoaHoc!$A$2:$C$8,2,0)</f>
        <v>Giao tiep co ban</v>
      </c>
      <c r="F13">
        <f>VLOOKUP($C13,KhoaHoc!$A$2:$C$8,3,0)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t="str">
        <f>VLOOKUP($C14,KhoaHoc!$A$2:$C$8,2,0)</f>
        <v>TOEIC 550</v>
      </c>
      <c r="F14">
        <f>VLOOKUP($C14,KhoaHoc!$A$2:$C$8,3,0)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>VLOOKUP($C15,KhoaHoc!$A$2:$C$8,2,0)</f>
        <v>IELTS 6.5</v>
      </c>
      <c r="F15">
        <f>VLOOKUP($C15,KhoaHoc!$A$2:$C$8,3,0)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VLOOKUP($C16,KhoaHoc!$A$2:$C$8,2,0)</f>
        <v>IELTS 6.5</v>
      </c>
      <c r="F16">
        <f>VLOOKUP($C16,KhoaHoc!$A$2:$C$8,3,0)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E8" sqref="E8"/>
    </sheetView>
  </sheetViews>
  <sheetFormatPr defaultColWidth="9" defaultRowHeight="16.8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VLOOKUP($E2,$A$2:$C$8,3,0)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</cp:lastModifiedBy>
  <dcterms:created xsi:type="dcterms:W3CDTF">2026-10-20T02:04:00Z</dcterms:created>
  <dcterms:modified xsi:type="dcterms:W3CDTF">2026-10-22T17:44:34Z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21958DCDC162DB68BAE4D96AEE4CBFAC_42</vt:lpwstr>
  </property>
  <property fmtid="{D5CDD505-2E9C-101B-9397-08002B2CF9AE}" pid="3" name="KSOProductBuildVer">
    <vt:lpwstr>1033-12.1.29181.29181</vt:lpwstr>
  </property>
  <property fmtid="{D5CDD505-2E9C-101B-9397-08002B2CF9AE}" pid="4" name="CalculationRule">
    <vt:i4>0</vt:i4>
  </property>
</Properties>
</file>